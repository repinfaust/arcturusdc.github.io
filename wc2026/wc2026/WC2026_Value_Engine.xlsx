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Ratings" sheetId="2" state="visible" r:id="rId4"/>
    <sheet name="Value Finder" sheetId="3" state="visible" r:id="rId5"/>
    <sheet name="CLV Tracker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<sst xmlns="http://schemas.openxmlformats.org/spreadsheetml/2006/main" count="239" uniqueCount="127">
  <si>
    <t xml:space="preserve">WC2026 xG Value Engine</t>
  </si>
  <si>
    <t xml:space="preserve">Deterministic Dixon-Coles / xG model  -  no black box, no LLM in the prediction path</t>
  </si>
  <si>
    <t xml:space="preserve">WHAT THIS IS</t>
  </si>
  <si>
    <t xml:space="preserve">A transparent scoreline model. It turns two teams' attack/defence ratings into an expected-goals (xG)</t>
  </si>
  <si>
    <t xml:space="preserve">figure for each side, builds the full distribution of scorelines (Dixon-Coles bivariate Poisson), and</t>
  </si>
  <si>
    <t xml:space="preserve">prices every market off that one matrix. All maths is in the Python files; nothing is guessed.</t>
  </si>
  <si>
    <t xml:space="preserve">THE WORKFLOW (each runs in seconds)</t>
  </si>
  <si>
    <t xml:space="preserve">1. RATINGS tab  - refresh attack/defence from rolling xG (FBref / Understat / FotMob). This is the job.</t>
  </si>
  <si>
    <t xml:space="preserve">2. Enter the book odds you see into data/fixtures_odds.csv  (or the Value Finder tab here).</t>
  </si>
  <si>
    <t xml:space="preserve">3. Run  python3 value_finder.py  - it flags +EV bets, sized at 1/4 Kelly.</t>
  </si>
  <si>
    <t xml:space="preserve">4. Log every bet in the CLV TRACKER tab. Add the closing odds later.</t>
  </si>
  <si>
    <t xml:space="preserve">HOW TO JUDGE YOURSELF  (the only honest scorecard)</t>
  </si>
  <si>
    <t xml:space="preserve">Over ~48 remaining games, results are noise. Closing-Line Value is the signal: if you consistently beat</t>
  </si>
  <si>
    <t xml:space="preserve">the closing line you have an edge, even on a losing run. If you don't, no winning streak is real.</t>
  </si>
  <si>
    <t xml:space="preserve">WHERE THE EDGE ACTUALLY LIVES  (from the research)</t>
  </si>
  <si>
    <t xml:space="preserve">- Small markets: team totals, BTTS, totals. Books shade these least and limit them low. PRIMARY TARGET.</t>
  </si>
  <si>
    <t xml:space="preserve">- Danger-zone favourites (odds ~1.34-1.50 / -200 to -299): the public overpays; ~-25% ROI historically.</t>
  </si>
  <si>
    <t xml:space="preserve">  The finder TAGS these so you fade, not follow.</t>
  </si>
  <si>
    <t xml:space="preserve">- The 48-team format adds mismatches (totals/handicaps) and dead third games (rotation the market lags).</t>
  </si>
  <si>
    <t xml:space="preserve">KNOWN FAILURE MODE  (read this)</t>
  </si>
  <si>
    <t xml:space="preserve">Out of the box the ratings are COARSE SEED PRIORS. A coarse model over-rates longshots, so it will flag</t>
  </si>
  <si>
    <t xml:space="preserve">things like 'minnow to beat an elite side' as value. That is an artifact, not an edge - those rows are</t>
  </si>
  <si>
    <t xml:space="preserve">tagged LONGSHOT - low confidence and sunk to the bottom. Fix it by refreshing ratings before trusting 1X2.</t>
  </si>
  <si>
    <t xml:space="preserve">REALITY CHECK</t>
  </si>
  <si>
    <t xml:space="preserve">64 games, ~48 left. Even a real 4% edge can't prove itself before the final. This is a modelling challenge</t>
  </si>
  <si>
    <t xml:space="preserve">for curiosity - a clean, honest tool - not a money printer. Stake only what you'd be happy to lose.</t>
  </si>
  <si>
    <t xml:space="preserve">Team Ratings  (xG strength multipliers)</t>
  </si>
  <si>
    <t xml:space="preserve">BLUE = edit these. 1.00 = average WC side. atk&gt;1 scores more; dfn&lt;1 concedes fewer. REFRESH FROM ROLLING xG.</t>
  </si>
  <si>
    <t xml:space="preserve">Team</t>
  </si>
  <si>
    <t xml:space="preserve">Attack (atk)</t>
  </si>
  <si>
    <t xml:space="preserve">Defence (dfn)</t>
  </si>
  <si>
    <t xml:space="preserve">Tier</t>
  </si>
  <si>
    <t xml:space="preserve">Notes</t>
  </si>
  <si>
    <t xml:space="preserve">Spain</t>
  </si>
  <si>
    <t xml:space="preserve">Elite</t>
  </si>
  <si>
    <t xml:space="preserve">SEED PRIOR - refresh from rolling xG</t>
  </si>
  <si>
    <t xml:space="preserve">France</t>
  </si>
  <si>
    <t xml:space="preserve">Argentina</t>
  </si>
  <si>
    <t xml:space="preserve">Brazil</t>
  </si>
  <si>
    <t xml:space="preserve">England</t>
  </si>
  <si>
    <t xml:space="preserve">Portugal</t>
  </si>
  <si>
    <t xml:space="preserve">Germany</t>
  </si>
  <si>
    <t xml:space="preserve">Netherlands</t>
  </si>
  <si>
    <t xml:space="preserve">Belgium</t>
  </si>
  <si>
    <t xml:space="preserve">Strong</t>
  </si>
  <si>
    <t xml:space="preserve">Croatia</t>
  </si>
  <si>
    <t xml:space="preserve">Uruguay</t>
  </si>
  <si>
    <t xml:space="preserve">Colombia</t>
  </si>
  <si>
    <t xml:space="preserve">Morocco</t>
  </si>
  <si>
    <t xml:space="preserve">Switzerland</t>
  </si>
  <si>
    <t xml:space="preserve">United States</t>
  </si>
  <si>
    <t xml:space="preserve">SEED PRIOR - host (set neutral=False)</t>
  </si>
  <si>
    <t xml:space="preserve">Japan</t>
  </si>
  <si>
    <t xml:space="preserve">Senegal</t>
  </si>
  <si>
    <t xml:space="preserve">Denmark</t>
  </si>
  <si>
    <t xml:space="preserve">Mexico</t>
  </si>
  <si>
    <t xml:space="preserve">Sweden</t>
  </si>
  <si>
    <t xml:space="preserve">Upper-mid</t>
  </si>
  <si>
    <t xml:space="preserve">Ecuador</t>
  </si>
  <si>
    <t xml:space="preserve">Korea Republic</t>
  </si>
  <si>
    <t xml:space="preserve">Iran</t>
  </si>
  <si>
    <t xml:space="preserve">Ivory Coast</t>
  </si>
  <si>
    <t xml:space="preserve">Egypt</t>
  </si>
  <si>
    <t xml:space="preserve">Australia</t>
  </si>
  <si>
    <t xml:space="preserve">Turkey</t>
  </si>
  <si>
    <t xml:space="preserve">Norway</t>
  </si>
  <si>
    <t xml:space="preserve">Scotland</t>
  </si>
  <si>
    <t xml:space="preserve">Mid</t>
  </si>
  <si>
    <t xml:space="preserve">Saudi Arabia</t>
  </si>
  <si>
    <t xml:space="preserve">Qatar</t>
  </si>
  <si>
    <t xml:space="preserve">SEED PRIOR - host (set neutral=False if applicable)</t>
  </si>
  <si>
    <t xml:space="preserve">Canada</t>
  </si>
  <si>
    <t xml:space="preserve">Tunisia</t>
  </si>
  <si>
    <t xml:space="preserve">Cabo Verde</t>
  </si>
  <si>
    <t xml:space="preserve">Bosnia and Herzegovina</t>
  </si>
  <si>
    <t xml:space="preserve">Czechia</t>
  </si>
  <si>
    <t xml:space="preserve">South Africa</t>
  </si>
  <si>
    <t xml:space="preserve">Weak</t>
  </si>
  <si>
    <t xml:space="preserve">New Zealand</t>
  </si>
  <si>
    <t xml:space="preserve">Haiti</t>
  </si>
  <si>
    <t xml:space="preserve">Curacao</t>
  </si>
  <si>
    <t xml:space="preserve">Value Finder  -  latest run</t>
  </si>
  <si>
    <t xml:space="preserve">Snapshot from value_finder.py. BLUE = inputs (model prob from engine; offered odds you saw). Fair odds &amp; edge are live formulas. Re-run the script to refresh.</t>
  </si>
  <si>
    <t xml:space="preserve">Match</t>
  </si>
  <si>
    <t xml:space="preserve">Market</t>
  </si>
  <si>
    <t xml:space="preserve">Selection</t>
  </si>
  <si>
    <t xml:space="preserve">Model prob</t>
  </si>
  <si>
    <t xml:space="preserve">Fair odds</t>
  </si>
  <si>
    <t xml:space="preserve">Offered odds</t>
  </si>
  <si>
    <t xml:space="preserve">Edge (EV/unit)</t>
  </si>
  <si>
    <t xml:space="preserve">1/4-Kelly (u, /100)</t>
  </si>
  <si>
    <t xml:space="preserve">Flag</t>
  </si>
  <si>
    <t xml:space="preserve">Spain v Cabo Verde</t>
  </si>
  <si>
    <t xml:space="preserve">BTTS</t>
  </si>
  <si>
    <t xml:space="preserve">BTTS Yes</t>
  </si>
  <si>
    <t xml:space="preserve">Brazil v Morocco</t>
  </si>
  <si>
    <t xml:space="preserve">Asian Handicap</t>
  </si>
  <si>
    <t xml:space="preserve">Home -1.50</t>
  </si>
  <si>
    <t xml:space="preserve">Netherlands v Japan</t>
  </si>
  <si>
    <t xml:space="preserve">Totals</t>
  </si>
  <si>
    <t xml:space="preserve">Under 2.5</t>
  </si>
  <si>
    <t xml:space="preserve">Team Totals</t>
  </si>
  <si>
    <t xml:space="preserve">Home Over 1.5</t>
  </si>
  <si>
    <t xml:space="preserve">BTTS No</t>
  </si>
  <si>
    <t xml:space="preserve">1X2</t>
  </si>
  <si>
    <t xml:space="preserve">Draw</t>
  </si>
  <si>
    <t xml:space="preserve">Away</t>
  </si>
  <si>
    <t xml:space="preserve">Germany v Curacao</t>
  </si>
  <si>
    <t xml:space="preserve">LONGSHOT - low confidence, verify ratings</t>
  </si>
  <si>
    <t xml:space="preserve">Closing-Line Value Tracker</t>
  </si>
  <si>
    <t xml:space="preserve">Log every bet. Add closing odds when the market settles. CLV% and P&amp;L are live formulas. Result: 1 = win, 0 = loss, 0.5 = push.</t>
  </si>
  <si>
    <t xml:space="preserve">Date</t>
  </si>
  <si>
    <t xml:space="preserve">Odds taken</t>
  </si>
  <si>
    <t xml:space="preserve">Stake (u)</t>
  </si>
  <si>
    <t xml:space="preserve">Closing odds</t>
  </si>
  <si>
    <t xml:space="preserve">Result</t>
  </si>
  <si>
    <t xml:space="preserve">CLV %</t>
  </si>
  <si>
    <t xml:space="preserve">P&amp;L (u)</t>
  </si>
  <si>
    <t xml:space="preserve">2026-06-22</t>
  </si>
  <si>
    <t xml:space="preserve">Neth v Japan</t>
  </si>
  <si>
    <t xml:space="preserve">SUMMARY</t>
  </si>
  <si>
    <t xml:space="preserve">Bets logged</t>
  </si>
  <si>
    <t xml:space="preserve">Avg CLV %</t>
  </si>
  <si>
    <t xml:space="preserve">% beating close</t>
  </si>
  <si>
    <t xml:space="preserve">Units staked</t>
  </si>
  <si>
    <t xml:space="preserve">P&amp;L (units)</t>
  </si>
  <si>
    <t xml:space="preserve">ROI %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</si>
</sst>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.0%"/>
    <numFmt numFmtId="167" formatCode="0.00;\(0.00\)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D9E1F2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2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/>
    </row>
    <row r="5" customFormat="false" ht="15" hidden="false" customHeight="false" outlineLevel="0" collapsed="false">
      <c r="A5" s="4" t="s">
        <v>2</v>
      </c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/>
    </row>
    <row r="10" customFormat="false" ht="15" hidden="false" customHeight="false" outlineLevel="0" collapsed="false">
      <c r="A10" s="3" t="s">
        <v>6</v>
      </c>
    </row>
    <row r="11" customFormat="false" ht="15" hidden="false" customHeight="false" outlineLevel="0" collapsed="false">
      <c r="A11" s="3" t="s">
        <v>7</v>
      </c>
    </row>
    <row r="12" customFormat="false" ht="15" hidden="false" customHeight="false" outlineLevel="0" collapsed="false">
      <c r="A12" s="3" t="s">
        <v>8</v>
      </c>
    </row>
    <row r="13" customFormat="false" ht="15" hidden="false" customHeight="false" outlineLevel="0" collapsed="false">
      <c r="A13" s="3" t="s">
        <v>9</v>
      </c>
    </row>
    <row r="14" customFormat="false" ht="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3"/>
    </row>
    <row r="16" customFormat="false" ht="15" hidden="false" customHeight="false" outlineLevel="0" collapsed="false">
      <c r="A16" s="3" t="s">
        <v>11</v>
      </c>
    </row>
    <row r="17" customFormat="false" ht="15" hidden="false" customHeight="false" outlineLevel="0" collapsed="false">
      <c r="A17" s="3" t="s">
        <v>12</v>
      </c>
    </row>
    <row r="18" customFormat="false" ht="15" hidden="false" customHeight="false" outlineLevel="0" collapsed="false">
      <c r="A18" s="3" t="s">
        <v>13</v>
      </c>
    </row>
    <row r="19" customFormat="false" ht="15" hidden="false" customHeight="false" outlineLevel="0" collapsed="false">
      <c r="A19" s="3"/>
    </row>
    <row r="20" customFormat="false" ht="15" hidden="false" customHeight="false" outlineLevel="0" collapsed="false">
      <c r="A20" s="3" t="s">
        <v>14</v>
      </c>
    </row>
    <row r="21" customFormat="false" ht="15" hidden="false" customHeight="false" outlineLevel="0" collapsed="false">
      <c r="A21" s="3" t="s">
        <v>15</v>
      </c>
    </row>
    <row r="22" customFormat="false" ht="15" hidden="false" customHeight="false" outlineLevel="0" collapsed="false">
      <c r="A22" s="3" t="s">
        <v>16</v>
      </c>
    </row>
    <row r="23" customFormat="false" ht="15" hidden="false" customHeight="false" outlineLevel="0" collapsed="false">
      <c r="A23" s="3" t="s">
        <v>17</v>
      </c>
    </row>
    <row r="24" customFormat="false" ht="15" hidden="false" customHeight="false" outlineLevel="0" collapsed="false">
      <c r="A24" s="3" t="s">
        <v>18</v>
      </c>
    </row>
    <row r="25" customFormat="false" ht="15" hidden="false" customHeight="false" outlineLevel="0" collapsed="false">
      <c r="A25" s="3"/>
    </row>
    <row r="26" customFormat="false" ht="15" hidden="false" customHeight="false" outlineLevel="0" collapsed="false">
      <c r="A26" s="3" t="s">
        <v>19</v>
      </c>
    </row>
    <row r="27" customFormat="false" ht="15" hidden="false" customHeight="false" outlineLevel="0" collapsed="false">
      <c r="A27" s="3" t="s">
        <v>20</v>
      </c>
    </row>
    <row r="28" customFormat="false" ht="15" hidden="false" customHeight="false" outlineLevel="0" collapsed="false">
      <c r="A28" s="3" t="s">
        <v>21</v>
      </c>
    </row>
    <row r="29" customFormat="false" ht="15" hidden="false" customHeight="false" outlineLevel="0" collapsed="false">
      <c r="A29" s="3" t="s">
        <v>22</v>
      </c>
    </row>
    <row r="30" customFormat="false" ht="15" hidden="false" customHeight="false" outlineLevel="0" collapsed="false">
      <c r="A30" s="3"/>
    </row>
    <row r="31" customFormat="false" ht="15" hidden="false" customHeight="false" outlineLevel="0" collapsed="false">
      <c r="A31" s="4" t="s">
        <v>23</v>
      </c>
    </row>
    <row r="32" customFormat="false" ht="15" hidden="false" customHeight="false" outlineLevel="0" collapsed="false">
      <c r="A32" s="3" t="s">
        <v>24</v>
      </c>
    </row>
    <row r="33" customFormat="false" ht="15" hidden="false" customHeight="false" outlineLevel="0" collapsed="false">
      <c r="A33" s="3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3"/>
    <col collapsed="false" customWidth="true" hidden="false" outlineLevel="0" max="4" min="4" style="0" width="12"/>
    <col collapsed="false" customWidth="true" hidden="false" outlineLevel="0" max="5" min="5" style="0" width="40"/>
  </cols>
  <sheetData>
    <row r="1" customFormat="false" ht="19.7" hidden="false" customHeight="false" outlineLevel="0" collapsed="false">
      <c r="A1" s="1" t="s">
        <v>26</v>
      </c>
    </row>
    <row r="2" customFormat="false" ht="15" hidden="false" customHeight="false" outlineLevel="0" collapsed="false">
      <c r="A2" s="2" t="s">
        <v>27</v>
      </c>
    </row>
    <row r="5" customFormat="false" ht="26.85" hidden="false" customHeight="false" outlineLevel="0" collapsed="false">
      <c r="A5" s="5" t="s">
        <v>28</v>
      </c>
      <c r="B5" s="5" t="s">
        <v>29</v>
      </c>
      <c r="C5" s="5" t="s">
        <v>30</v>
      </c>
      <c r="D5" s="5" t="s">
        <v>31</v>
      </c>
      <c r="E5" s="5" t="s">
        <v>32</v>
      </c>
    </row>
    <row r="6" customFormat="false" ht="15" hidden="false" customHeight="false" outlineLevel="0" collapsed="false">
      <c r="A6" s="6" t="s">
        <v>33</v>
      </c>
      <c r="B6" s="7" t="n">
        <v>1.6</v>
      </c>
      <c r="C6" s="7" t="n">
        <v>0.58</v>
      </c>
      <c r="D6" s="6" t="s">
        <v>34</v>
      </c>
      <c r="E6" s="6" t="s">
        <v>35</v>
      </c>
    </row>
    <row r="7" customFormat="false" ht="15" hidden="false" customHeight="false" outlineLevel="0" collapsed="false">
      <c r="A7" s="8" t="s">
        <v>36</v>
      </c>
      <c r="B7" s="9" t="n">
        <v>1.6</v>
      </c>
      <c r="C7" s="9" t="n">
        <v>0.58</v>
      </c>
      <c r="D7" s="8" t="s">
        <v>34</v>
      </c>
      <c r="E7" s="8" t="s">
        <v>35</v>
      </c>
    </row>
    <row r="8" customFormat="false" ht="15" hidden="false" customHeight="false" outlineLevel="0" collapsed="false">
      <c r="A8" s="6" t="s">
        <v>37</v>
      </c>
      <c r="B8" s="7" t="n">
        <v>1.6</v>
      </c>
      <c r="C8" s="7" t="n">
        <v>0.58</v>
      </c>
      <c r="D8" s="6" t="s">
        <v>34</v>
      </c>
      <c r="E8" s="6" t="s">
        <v>35</v>
      </c>
    </row>
    <row r="9" customFormat="false" ht="15" hidden="false" customHeight="false" outlineLevel="0" collapsed="false">
      <c r="A9" s="8" t="s">
        <v>38</v>
      </c>
      <c r="B9" s="9" t="n">
        <v>1.6</v>
      </c>
      <c r="C9" s="9" t="n">
        <v>0.58</v>
      </c>
      <c r="D9" s="8" t="s">
        <v>34</v>
      </c>
      <c r="E9" s="8" t="s">
        <v>35</v>
      </c>
    </row>
    <row r="10" customFormat="false" ht="15" hidden="false" customHeight="false" outlineLevel="0" collapsed="false">
      <c r="A10" s="6" t="s">
        <v>39</v>
      </c>
      <c r="B10" s="7" t="n">
        <v>1.6</v>
      </c>
      <c r="C10" s="7" t="n">
        <v>0.58</v>
      </c>
      <c r="D10" s="6" t="s">
        <v>34</v>
      </c>
      <c r="E10" s="6" t="s">
        <v>35</v>
      </c>
    </row>
    <row r="11" customFormat="false" ht="15" hidden="false" customHeight="false" outlineLevel="0" collapsed="false">
      <c r="A11" s="8" t="s">
        <v>40</v>
      </c>
      <c r="B11" s="9" t="n">
        <v>1.6</v>
      </c>
      <c r="C11" s="9" t="n">
        <v>0.58</v>
      </c>
      <c r="D11" s="8" t="s">
        <v>34</v>
      </c>
      <c r="E11" s="8" t="s">
        <v>35</v>
      </c>
    </row>
    <row r="12" customFormat="false" ht="15" hidden="false" customHeight="false" outlineLevel="0" collapsed="false">
      <c r="A12" s="6" t="s">
        <v>41</v>
      </c>
      <c r="B12" s="7" t="n">
        <v>1.6</v>
      </c>
      <c r="C12" s="7" t="n">
        <v>0.58</v>
      </c>
      <c r="D12" s="6" t="s">
        <v>34</v>
      </c>
      <c r="E12" s="6" t="s">
        <v>35</v>
      </c>
    </row>
    <row r="13" customFormat="false" ht="15" hidden="false" customHeight="false" outlineLevel="0" collapsed="false">
      <c r="A13" s="8" t="s">
        <v>42</v>
      </c>
      <c r="B13" s="9" t="n">
        <v>1.6</v>
      </c>
      <c r="C13" s="9" t="n">
        <v>0.58</v>
      </c>
      <c r="D13" s="8" t="s">
        <v>34</v>
      </c>
      <c r="E13" s="8" t="s">
        <v>35</v>
      </c>
    </row>
    <row r="14" customFormat="false" ht="15" hidden="false" customHeight="false" outlineLevel="0" collapsed="false">
      <c r="A14" s="6" t="s">
        <v>43</v>
      </c>
      <c r="B14" s="7" t="n">
        <v>1.25</v>
      </c>
      <c r="C14" s="7" t="n">
        <v>0.8</v>
      </c>
      <c r="D14" s="6" t="s">
        <v>44</v>
      </c>
      <c r="E14" s="6" t="s">
        <v>35</v>
      </c>
    </row>
    <row r="15" customFormat="false" ht="15" hidden="false" customHeight="false" outlineLevel="0" collapsed="false">
      <c r="A15" s="8" t="s">
        <v>45</v>
      </c>
      <c r="B15" s="9" t="n">
        <v>1.25</v>
      </c>
      <c r="C15" s="9" t="n">
        <v>0.8</v>
      </c>
      <c r="D15" s="8" t="s">
        <v>44</v>
      </c>
      <c r="E15" s="8" t="s">
        <v>35</v>
      </c>
    </row>
    <row r="16" customFormat="false" ht="15" hidden="false" customHeight="false" outlineLevel="0" collapsed="false">
      <c r="A16" s="6" t="s">
        <v>46</v>
      </c>
      <c r="B16" s="7" t="n">
        <v>1.25</v>
      </c>
      <c r="C16" s="7" t="n">
        <v>0.8</v>
      </c>
      <c r="D16" s="6" t="s">
        <v>44</v>
      </c>
      <c r="E16" s="6" t="s">
        <v>35</v>
      </c>
    </row>
    <row r="17" customFormat="false" ht="15" hidden="false" customHeight="false" outlineLevel="0" collapsed="false">
      <c r="A17" s="8" t="s">
        <v>47</v>
      </c>
      <c r="B17" s="9" t="n">
        <v>1.25</v>
      </c>
      <c r="C17" s="9" t="n">
        <v>0.8</v>
      </c>
      <c r="D17" s="8" t="s">
        <v>44</v>
      </c>
      <c r="E17" s="8" t="s">
        <v>35</v>
      </c>
    </row>
    <row r="18" customFormat="false" ht="15" hidden="false" customHeight="false" outlineLevel="0" collapsed="false">
      <c r="A18" s="6" t="s">
        <v>48</v>
      </c>
      <c r="B18" s="7" t="n">
        <v>1.25</v>
      </c>
      <c r="C18" s="7" t="n">
        <v>0.8</v>
      </c>
      <c r="D18" s="6" t="s">
        <v>44</v>
      </c>
      <c r="E18" s="6" t="s">
        <v>35</v>
      </c>
    </row>
    <row r="19" customFormat="false" ht="15" hidden="false" customHeight="false" outlineLevel="0" collapsed="false">
      <c r="A19" s="8" t="s">
        <v>49</v>
      </c>
      <c r="B19" s="9" t="n">
        <v>1.25</v>
      </c>
      <c r="C19" s="9" t="n">
        <v>0.8</v>
      </c>
      <c r="D19" s="8" t="s">
        <v>44</v>
      </c>
      <c r="E19" s="8" t="s">
        <v>35</v>
      </c>
    </row>
    <row r="20" customFormat="false" ht="15" hidden="false" customHeight="false" outlineLevel="0" collapsed="false">
      <c r="A20" s="6" t="s">
        <v>50</v>
      </c>
      <c r="B20" s="7" t="n">
        <v>1.25</v>
      </c>
      <c r="C20" s="7" t="n">
        <v>0.8</v>
      </c>
      <c r="D20" s="6" t="s">
        <v>44</v>
      </c>
      <c r="E20" s="6" t="s">
        <v>51</v>
      </c>
    </row>
    <row r="21" customFormat="false" ht="15" hidden="false" customHeight="false" outlineLevel="0" collapsed="false">
      <c r="A21" s="8" t="s">
        <v>52</v>
      </c>
      <c r="B21" s="9" t="n">
        <v>1.25</v>
      </c>
      <c r="C21" s="9" t="n">
        <v>0.8</v>
      </c>
      <c r="D21" s="8" t="s">
        <v>44</v>
      </c>
      <c r="E21" s="8" t="s">
        <v>35</v>
      </c>
    </row>
    <row r="22" customFormat="false" ht="15" hidden="false" customHeight="false" outlineLevel="0" collapsed="false">
      <c r="A22" s="6" t="s">
        <v>53</v>
      </c>
      <c r="B22" s="7" t="n">
        <v>1.25</v>
      </c>
      <c r="C22" s="7" t="n">
        <v>0.8</v>
      </c>
      <c r="D22" s="6" t="s">
        <v>44</v>
      </c>
      <c r="E22" s="6" t="s">
        <v>35</v>
      </c>
    </row>
    <row r="23" customFormat="false" ht="15" hidden="false" customHeight="false" outlineLevel="0" collapsed="false">
      <c r="A23" s="8" t="s">
        <v>54</v>
      </c>
      <c r="B23" s="9" t="n">
        <v>1.25</v>
      </c>
      <c r="C23" s="9" t="n">
        <v>0.8</v>
      </c>
      <c r="D23" s="8" t="s">
        <v>44</v>
      </c>
      <c r="E23" s="8" t="s">
        <v>35</v>
      </c>
    </row>
    <row r="24" customFormat="false" ht="15" hidden="false" customHeight="false" outlineLevel="0" collapsed="false">
      <c r="A24" s="6" t="s">
        <v>55</v>
      </c>
      <c r="B24" s="7" t="n">
        <v>1.25</v>
      </c>
      <c r="C24" s="7" t="n">
        <v>0.8</v>
      </c>
      <c r="D24" s="6" t="s">
        <v>44</v>
      </c>
      <c r="E24" s="6" t="s">
        <v>51</v>
      </c>
    </row>
    <row r="25" customFormat="false" ht="15" hidden="false" customHeight="false" outlineLevel="0" collapsed="false">
      <c r="A25" s="8" t="s">
        <v>56</v>
      </c>
      <c r="B25" s="9" t="n">
        <v>1.05</v>
      </c>
      <c r="C25" s="9" t="n">
        <v>0.96</v>
      </c>
      <c r="D25" s="8" t="s">
        <v>57</v>
      </c>
      <c r="E25" s="8" t="s">
        <v>35</v>
      </c>
    </row>
    <row r="26" customFormat="false" ht="15" hidden="false" customHeight="false" outlineLevel="0" collapsed="false">
      <c r="A26" s="6" t="s">
        <v>58</v>
      </c>
      <c r="B26" s="7" t="n">
        <v>1.05</v>
      </c>
      <c r="C26" s="7" t="n">
        <v>0.96</v>
      </c>
      <c r="D26" s="6" t="s">
        <v>57</v>
      </c>
      <c r="E26" s="6" t="s">
        <v>35</v>
      </c>
    </row>
    <row r="27" customFormat="false" ht="15" hidden="false" customHeight="false" outlineLevel="0" collapsed="false">
      <c r="A27" s="8" t="s">
        <v>59</v>
      </c>
      <c r="B27" s="9" t="n">
        <v>1.05</v>
      </c>
      <c r="C27" s="9" t="n">
        <v>0.96</v>
      </c>
      <c r="D27" s="8" t="s">
        <v>57</v>
      </c>
      <c r="E27" s="8" t="s">
        <v>35</v>
      </c>
    </row>
    <row r="28" customFormat="false" ht="15" hidden="false" customHeight="false" outlineLevel="0" collapsed="false">
      <c r="A28" s="6" t="s">
        <v>60</v>
      </c>
      <c r="B28" s="7" t="n">
        <v>1.05</v>
      </c>
      <c r="C28" s="7" t="n">
        <v>0.96</v>
      </c>
      <c r="D28" s="6" t="s">
        <v>57</v>
      </c>
      <c r="E28" s="6" t="s">
        <v>35</v>
      </c>
    </row>
    <row r="29" customFormat="false" ht="15" hidden="false" customHeight="false" outlineLevel="0" collapsed="false">
      <c r="A29" s="8" t="s">
        <v>61</v>
      </c>
      <c r="B29" s="9" t="n">
        <v>1.05</v>
      </c>
      <c r="C29" s="9" t="n">
        <v>0.96</v>
      </c>
      <c r="D29" s="8" t="s">
        <v>57</v>
      </c>
      <c r="E29" s="8" t="s">
        <v>35</v>
      </c>
    </row>
    <row r="30" customFormat="false" ht="15" hidden="false" customHeight="false" outlineLevel="0" collapsed="false">
      <c r="A30" s="6" t="s">
        <v>62</v>
      </c>
      <c r="B30" s="7" t="n">
        <v>1.05</v>
      </c>
      <c r="C30" s="7" t="n">
        <v>0.96</v>
      </c>
      <c r="D30" s="6" t="s">
        <v>57</v>
      </c>
      <c r="E30" s="6" t="s">
        <v>35</v>
      </c>
    </row>
    <row r="31" customFormat="false" ht="15" hidden="false" customHeight="false" outlineLevel="0" collapsed="false">
      <c r="A31" s="8" t="s">
        <v>63</v>
      </c>
      <c r="B31" s="9" t="n">
        <v>1.05</v>
      </c>
      <c r="C31" s="9" t="n">
        <v>0.96</v>
      </c>
      <c r="D31" s="8" t="s">
        <v>57</v>
      </c>
      <c r="E31" s="8" t="s">
        <v>35</v>
      </c>
    </row>
    <row r="32" customFormat="false" ht="15" hidden="false" customHeight="false" outlineLevel="0" collapsed="false">
      <c r="A32" s="6" t="s">
        <v>64</v>
      </c>
      <c r="B32" s="7" t="n">
        <v>1.05</v>
      </c>
      <c r="C32" s="7" t="n">
        <v>0.96</v>
      </c>
      <c r="D32" s="6" t="s">
        <v>57</v>
      </c>
      <c r="E32" s="6" t="s">
        <v>35</v>
      </c>
    </row>
    <row r="33" customFormat="false" ht="15" hidden="false" customHeight="false" outlineLevel="0" collapsed="false">
      <c r="A33" s="8" t="s">
        <v>65</v>
      </c>
      <c r="B33" s="9" t="n">
        <v>1.05</v>
      </c>
      <c r="C33" s="9" t="n">
        <v>0.96</v>
      </c>
      <c r="D33" s="8" t="s">
        <v>57</v>
      </c>
      <c r="E33" s="8" t="s">
        <v>35</v>
      </c>
    </row>
    <row r="34" customFormat="false" ht="15" hidden="false" customHeight="false" outlineLevel="0" collapsed="false">
      <c r="A34" s="6" t="s">
        <v>66</v>
      </c>
      <c r="B34" s="7" t="n">
        <v>0.9</v>
      </c>
      <c r="C34" s="7" t="n">
        <v>1.12</v>
      </c>
      <c r="D34" s="6" t="s">
        <v>67</v>
      </c>
      <c r="E34" s="6" t="s">
        <v>35</v>
      </c>
    </row>
    <row r="35" customFormat="false" ht="15" hidden="false" customHeight="false" outlineLevel="0" collapsed="false">
      <c r="A35" s="8" t="s">
        <v>68</v>
      </c>
      <c r="B35" s="9" t="n">
        <v>0.9</v>
      </c>
      <c r="C35" s="9" t="n">
        <v>1.12</v>
      </c>
      <c r="D35" s="8" t="s">
        <v>67</v>
      </c>
      <c r="E35" s="8" t="s">
        <v>35</v>
      </c>
    </row>
    <row r="36" customFormat="false" ht="15" hidden="false" customHeight="false" outlineLevel="0" collapsed="false">
      <c r="A36" s="6" t="s">
        <v>69</v>
      </c>
      <c r="B36" s="7" t="n">
        <v>0.9</v>
      </c>
      <c r="C36" s="7" t="n">
        <v>1.12</v>
      </c>
      <c r="D36" s="6" t="s">
        <v>67</v>
      </c>
      <c r="E36" s="6" t="s">
        <v>70</v>
      </c>
    </row>
    <row r="37" customFormat="false" ht="15" hidden="false" customHeight="false" outlineLevel="0" collapsed="false">
      <c r="A37" s="8" t="s">
        <v>71</v>
      </c>
      <c r="B37" s="9" t="n">
        <v>0.9</v>
      </c>
      <c r="C37" s="9" t="n">
        <v>1.12</v>
      </c>
      <c r="D37" s="8" t="s">
        <v>67</v>
      </c>
      <c r="E37" s="8" t="s">
        <v>51</v>
      </c>
    </row>
    <row r="38" customFormat="false" ht="15" hidden="false" customHeight="false" outlineLevel="0" collapsed="false">
      <c r="A38" s="6" t="s">
        <v>72</v>
      </c>
      <c r="B38" s="7" t="n">
        <v>0.9</v>
      </c>
      <c r="C38" s="7" t="n">
        <v>1.12</v>
      </c>
      <c r="D38" s="6" t="s">
        <v>67</v>
      </c>
      <c r="E38" s="6" t="s">
        <v>35</v>
      </c>
    </row>
    <row r="39" customFormat="false" ht="15" hidden="false" customHeight="false" outlineLevel="0" collapsed="false">
      <c r="A39" s="8" t="s">
        <v>73</v>
      </c>
      <c r="B39" s="9" t="n">
        <v>0.9</v>
      </c>
      <c r="C39" s="9" t="n">
        <v>1.12</v>
      </c>
      <c r="D39" s="8" t="s">
        <v>67</v>
      </c>
      <c r="E39" s="8" t="s">
        <v>35</v>
      </c>
    </row>
    <row r="40" customFormat="false" ht="15" hidden="false" customHeight="false" outlineLevel="0" collapsed="false">
      <c r="A40" s="6" t="s">
        <v>74</v>
      </c>
      <c r="B40" s="7" t="n">
        <v>0.9</v>
      </c>
      <c r="C40" s="7" t="n">
        <v>1.12</v>
      </c>
      <c r="D40" s="6" t="s">
        <v>67</v>
      </c>
      <c r="E40" s="6" t="s">
        <v>35</v>
      </c>
    </row>
    <row r="41" customFormat="false" ht="15" hidden="false" customHeight="false" outlineLevel="0" collapsed="false">
      <c r="A41" s="8" t="s">
        <v>75</v>
      </c>
      <c r="B41" s="9" t="n">
        <v>0.9</v>
      </c>
      <c r="C41" s="9" t="n">
        <v>1.12</v>
      </c>
      <c r="D41" s="8" t="s">
        <v>67</v>
      </c>
      <c r="E41" s="8" t="s">
        <v>35</v>
      </c>
    </row>
    <row r="42" customFormat="false" ht="15" hidden="false" customHeight="false" outlineLevel="0" collapsed="false">
      <c r="A42" s="6" t="s">
        <v>76</v>
      </c>
      <c r="B42" s="7" t="n">
        <v>0.7</v>
      </c>
      <c r="C42" s="7" t="n">
        <v>1.45</v>
      </c>
      <c r="D42" s="6" t="s">
        <v>77</v>
      </c>
      <c r="E42" s="6" t="s">
        <v>35</v>
      </c>
    </row>
    <row r="43" customFormat="false" ht="15" hidden="false" customHeight="false" outlineLevel="0" collapsed="false">
      <c r="A43" s="8" t="s">
        <v>78</v>
      </c>
      <c r="B43" s="9" t="n">
        <v>0.7</v>
      </c>
      <c r="C43" s="9" t="n">
        <v>1.45</v>
      </c>
      <c r="D43" s="8" t="s">
        <v>77</v>
      </c>
      <c r="E43" s="8" t="s">
        <v>35</v>
      </c>
    </row>
    <row r="44" customFormat="false" ht="15" hidden="false" customHeight="false" outlineLevel="0" collapsed="false">
      <c r="A44" s="6" t="s">
        <v>79</v>
      </c>
      <c r="B44" s="7" t="n">
        <v>0.7</v>
      </c>
      <c r="C44" s="7" t="n">
        <v>1.45</v>
      </c>
      <c r="D44" s="6" t="s">
        <v>77</v>
      </c>
      <c r="E44" s="6" t="s">
        <v>35</v>
      </c>
    </row>
    <row r="45" customFormat="false" ht="15" hidden="false" customHeight="false" outlineLevel="0" collapsed="false">
      <c r="A45" s="8" t="s">
        <v>80</v>
      </c>
      <c r="B45" s="9" t="n">
        <v>0.7</v>
      </c>
      <c r="C45" s="9" t="n">
        <v>1.45</v>
      </c>
      <c r="D45" s="8" t="s">
        <v>77</v>
      </c>
      <c r="E45" s="8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6"/>
    <col collapsed="false" customWidth="true" hidden="false" outlineLevel="0" max="4" min="4" style="0" width="11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34"/>
  </cols>
  <sheetData>
    <row r="1" customFormat="false" ht="19.7" hidden="false" customHeight="false" outlineLevel="0" collapsed="false">
      <c r="A1" s="1" t="s">
        <v>81</v>
      </c>
    </row>
    <row r="2" customFormat="false" ht="15" hidden="false" customHeight="false" outlineLevel="0" collapsed="false">
      <c r="A2" s="2" t="s">
        <v>82</v>
      </c>
    </row>
    <row r="5" customFormat="false" ht="26.85" hidden="false" customHeight="false" outlineLevel="0" collapsed="false">
      <c r="A5" s="5" t="s">
        <v>83</v>
      </c>
      <c r="B5" s="5" t="s">
        <v>84</v>
      </c>
      <c r="C5" s="5" t="s">
        <v>85</v>
      </c>
      <c r="D5" s="5" t="s">
        <v>86</v>
      </c>
      <c r="E5" s="5" t="s">
        <v>87</v>
      </c>
      <c r="F5" s="5" t="s">
        <v>88</v>
      </c>
      <c r="G5" s="5" t="s">
        <v>89</v>
      </c>
      <c r="H5" s="5" t="s">
        <v>90</v>
      </c>
      <c r="I5" s="5" t="s">
        <v>91</v>
      </c>
    </row>
    <row r="6" customFormat="false" ht="15" hidden="false" customHeight="false" outlineLevel="0" collapsed="false">
      <c r="A6" s="8" t="s">
        <v>92</v>
      </c>
      <c r="B6" s="8" t="s">
        <v>93</v>
      </c>
      <c r="C6" s="8" t="s">
        <v>94</v>
      </c>
      <c r="D6" s="10" t="n">
        <v>0.4347</v>
      </c>
      <c r="E6" s="11" t="n">
        <f aca="false">IF(D6=0,"",1/D6)</f>
        <v>2.30043708304578</v>
      </c>
      <c r="F6" s="9" t="n">
        <v>2.9</v>
      </c>
      <c r="G6" s="12" t="n">
        <f aca="false">D6*(F6-1)-(1-D6)</f>
        <v>0.26063</v>
      </c>
      <c r="H6" s="11" t="n">
        <v>3.43</v>
      </c>
      <c r="I6" s="8"/>
    </row>
    <row r="7" customFormat="false" ht="15" hidden="false" customHeight="false" outlineLevel="0" collapsed="false">
      <c r="A7" s="8" t="s">
        <v>95</v>
      </c>
      <c r="B7" s="8" t="s">
        <v>96</v>
      </c>
      <c r="C7" s="8" t="s">
        <v>97</v>
      </c>
      <c r="D7" s="10" t="n">
        <v>0.2856</v>
      </c>
      <c r="E7" s="11" t="n">
        <f aca="false">IF(D7=0,"",1/D7)</f>
        <v>3.50140056022409</v>
      </c>
      <c r="F7" s="9" t="n">
        <v>4.3</v>
      </c>
      <c r="G7" s="12" t="n">
        <f aca="false">D7*(F7-1)-(1-D7)</f>
        <v>0.22808</v>
      </c>
      <c r="H7" s="11" t="n">
        <v>1.73</v>
      </c>
      <c r="I7" s="8"/>
    </row>
    <row r="8" customFormat="false" ht="15" hidden="false" customHeight="false" outlineLevel="0" collapsed="false">
      <c r="A8" s="8" t="s">
        <v>98</v>
      </c>
      <c r="B8" s="8" t="s">
        <v>99</v>
      </c>
      <c r="C8" s="8" t="s">
        <v>100</v>
      </c>
      <c r="D8" s="10" t="n">
        <v>0.5422</v>
      </c>
      <c r="E8" s="11" t="n">
        <f aca="false">IF(D8=0,"",1/D8)</f>
        <v>1.84433788270011</v>
      </c>
      <c r="F8" s="9" t="n">
        <v>2.25</v>
      </c>
      <c r="G8" s="12" t="n">
        <f aca="false">D8*(F8-1)-(1-D8)</f>
        <v>0.21995</v>
      </c>
      <c r="H8" s="11" t="n">
        <v>4.4</v>
      </c>
      <c r="I8" s="8"/>
    </row>
    <row r="9" customFormat="false" ht="15" hidden="false" customHeight="false" outlineLevel="0" collapsed="false">
      <c r="A9" s="8" t="s">
        <v>95</v>
      </c>
      <c r="B9" s="8" t="s">
        <v>101</v>
      </c>
      <c r="C9" s="8" t="s">
        <v>102</v>
      </c>
      <c r="D9" s="10" t="n">
        <v>0.4751</v>
      </c>
      <c r="E9" s="11" t="n">
        <f aca="false">IF(D9=0,"",1/D9)</f>
        <v>2.10482003788676</v>
      </c>
      <c r="F9" s="9" t="n">
        <v>2.55</v>
      </c>
      <c r="G9" s="12" t="n">
        <f aca="false">D9*(F9-1)-(1-D9)</f>
        <v>0.211505</v>
      </c>
      <c r="H9" s="11" t="n">
        <v>3.41</v>
      </c>
      <c r="I9" s="8"/>
    </row>
    <row r="10" customFormat="false" ht="15" hidden="false" customHeight="false" outlineLevel="0" collapsed="false">
      <c r="A10" s="8" t="s">
        <v>98</v>
      </c>
      <c r="B10" s="8" t="s">
        <v>93</v>
      </c>
      <c r="C10" s="8" t="s">
        <v>103</v>
      </c>
      <c r="D10" s="10" t="n">
        <v>0.5149</v>
      </c>
      <c r="E10" s="11" t="n">
        <f aca="false">IF(D10=0,"",1/D10)</f>
        <v>1.94212468440474</v>
      </c>
      <c r="F10" s="9" t="n">
        <v>2.2</v>
      </c>
      <c r="G10" s="12" t="n">
        <f aca="false">D10*(F10-1)-(1-D10)</f>
        <v>0.13278</v>
      </c>
      <c r="H10" s="11" t="n">
        <v>2.77</v>
      </c>
      <c r="I10" s="8"/>
    </row>
    <row r="11" customFormat="false" ht="15" hidden="false" customHeight="false" outlineLevel="0" collapsed="false">
      <c r="A11" s="8" t="s">
        <v>98</v>
      </c>
      <c r="B11" s="8" t="s">
        <v>104</v>
      </c>
      <c r="C11" s="8" t="s">
        <v>105</v>
      </c>
      <c r="D11" s="10" t="n">
        <v>0.2692</v>
      </c>
      <c r="E11" s="11" t="n">
        <f aca="false">IF(D11=0,"",1/D11)</f>
        <v>3.7147102526003</v>
      </c>
      <c r="F11" s="9" t="n">
        <v>4.1</v>
      </c>
      <c r="G11" s="12" t="n">
        <f aca="false">D11*(F11-1)-(1-D11)</f>
        <v>0.10372</v>
      </c>
      <c r="H11" s="11" t="n">
        <v>0.84</v>
      </c>
      <c r="I11" s="8"/>
    </row>
    <row r="12" customFormat="false" ht="15" hidden="false" customHeight="false" outlineLevel="0" collapsed="false">
      <c r="A12" s="8" t="s">
        <v>98</v>
      </c>
      <c r="B12" s="8" t="s">
        <v>104</v>
      </c>
      <c r="C12" s="8" t="s">
        <v>106</v>
      </c>
      <c r="D12" s="10" t="n">
        <v>0.2036</v>
      </c>
      <c r="E12" s="11" t="n">
        <f aca="false">IF(D12=0,"",1/D12)</f>
        <v>4.91159135559921</v>
      </c>
      <c r="F12" s="9" t="n">
        <v>5.4</v>
      </c>
      <c r="G12" s="12" t="n">
        <f aca="false">D12*(F12-1)-(1-D12)</f>
        <v>0.0994400000000001</v>
      </c>
      <c r="H12" s="11" t="n">
        <v>0.57</v>
      </c>
      <c r="I12" s="8"/>
    </row>
    <row r="13" customFormat="false" ht="15" hidden="false" customHeight="false" outlineLevel="0" collapsed="false">
      <c r="A13" s="8" t="s">
        <v>107</v>
      </c>
      <c r="B13" s="8" t="s">
        <v>101</v>
      </c>
      <c r="C13" s="8" t="s">
        <v>102</v>
      </c>
      <c r="D13" s="10" t="n">
        <v>0.7854</v>
      </c>
      <c r="E13" s="11" t="n">
        <f aca="false">IF(D13=0,"",1/D13)</f>
        <v>1.27323656735421</v>
      </c>
      <c r="F13" s="9" t="n">
        <v>1.4</v>
      </c>
      <c r="G13" s="12" t="n">
        <f aca="false">D13*(F13-1)-(1-D13)</f>
        <v>0.0995599999999999</v>
      </c>
      <c r="H13" s="11" t="n">
        <v>6.22</v>
      </c>
      <c r="I13" s="8"/>
    </row>
    <row r="14" customFormat="false" ht="15" hidden="false" customHeight="false" outlineLevel="0" collapsed="false">
      <c r="A14" s="8" t="s">
        <v>92</v>
      </c>
      <c r="B14" s="8" t="s">
        <v>99</v>
      </c>
      <c r="C14" s="8" t="s">
        <v>100</v>
      </c>
      <c r="D14" s="10" t="n">
        <v>0.4477</v>
      </c>
      <c r="E14" s="11" t="n">
        <f aca="false">IF(D14=0,"",1/D14)</f>
        <v>2.23363859727496</v>
      </c>
      <c r="F14" s="9" t="n">
        <v>2.45</v>
      </c>
      <c r="G14" s="12" t="n">
        <f aca="false">D14*(F14-1)-(1-D14)</f>
        <v>0.0968650000000001</v>
      </c>
      <c r="H14" s="11" t="n">
        <v>1.67</v>
      </c>
      <c r="I14" s="8"/>
    </row>
    <row r="15" customFormat="false" ht="15" hidden="false" customHeight="false" outlineLevel="0" collapsed="false">
      <c r="A15" s="8" t="s">
        <v>98</v>
      </c>
      <c r="B15" s="8" t="s">
        <v>101</v>
      </c>
      <c r="C15" s="8" t="s">
        <v>102</v>
      </c>
      <c r="D15" s="10" t="n">
        <v>0.4751</v>
      </c>
      <c r="E15" s="11" t="n">
        <f aca="false">IF(D15=0,"",1/D15)</f>
        <v>2.10482003788676</v>
      </c>
      <c r="F15" s="9" t="n">
        <v>2.3</v>
      </c>
      <c r="G15" s="12" t="n">
        <f aca="false">D15*(F15-1)-(1-D15)</f>
        <v>0.09273</v>
      </c>
      <c r="H15" s="11" t="n">
        <v>1.78</v>
      </c>
      <c r="I15" s="8"/>
    </row>
    <row r="16" customFormat="false" ht="15" hidden="false" customHeight="false" outlineLevel="0" collapsed="false">
      <c r="A16" s="8" t="s">
        <v>107</v>
      </c>
      <c r="B16" s="8" t="s">
        <v>99</v>
      </c>
      <c r="C16" s="8" t="s">
        <v>100</v>
      </c>
      <c r="D16" s="10" t="n">
        <v>0.3383</v>
      </c>
      <c r="E16" s="11" t="n">
        <f aca="false">IF(D16=0,"",1/D16)</f>
        <v>2.95595625184747</v>
      </c>
      <c r="F16" s="9" t="n">
        <v>3.1</v>
      </c>
      <c r="G16" s="12" t="n">
        <f aca="false">D16*(F16-1)-(1-D16)</f>
        <v>0.0487300000000001</v>
      </c>
      <c r="H16" s="11" t="n">
        <v>0.58</v>
      </c>
      <c r="I16" s="8"/>
    </row>
    <row r="17" customFormat="false" ht="15" hidden="false" customHeight="false" outlineLevel="0" collapsed="false">
      <c r="A17" s="8" t="s">
        <v>107</v>
      </c>
      <c r="B17" s="8" t="s">
        <v>93</v>
      </c>
      <c r="C17" s="8" t="s">
        <v>94</v>
      </c>
      <c r="D17" s="10" t="n">
        <v>0.38</v>
      </c>
      <c r="E17" s="11" t="n">
        <f aca="false">IF(D17=0,"",1/D17)</f>
        <v>2.63157894736842</v>
      </c>
      <c r="F17" s="9" t="n">
        <v>2.7</v>
      </c>
      <c r="G17" s="12" t="n">
        <f aca="false">D17*(F17-1)-(1-D17)</f>
        <v>0.0260000000000001</v>
      </c>
      <c r="H17" s="11" t="n">
        <v>0.38</v>
      </c>
      <c r="I17" s="8"/>
    </row>
    <row r="18" customFormat="false" ht="15" hidden="false" customHeight="false" outlineLevel="0" collapsed="false">
      <c r="A18" s="8" t="s">
        <v>92</v>
      </c>
      <c r="B18" s="8" t="s">
        <v>104</v>
      </c>
      <c r="C18" s="8" t="s">
        <v>106</v>
      </c>
      <c r="D18" s="10" t="n">
        <v>0.0864</v>
      </c>
      <c r="E18" s="11" t="n">
        <f aca="false">IF(D18=0,"",1/D18)</f>
        <v>11.5740740740741</v>
      </c>
      <c r="F18" s="9" t="n">
        <v>19</v>
      </c>
      <c r="G18" s="12" t="n">
        <f aca="false">D18*(F18-1)-(1-D18)</f>
        <v>0.6416</v>
      </c>
      <c r="H18" s="11" t="n">
        <v>0.89</v>
      </c>
      <c r="I18" s="8" t="s">
        <v>108</v>
      </c>
    </row>
    <row r="19" customFormat="false" ht="15" hidden="false" customHeight="false" outlineLevel="0" collapsed="false">
      <c r="A19" s="8" t="s">
        <v>92</v>
      </c>
      <c r="B19" s="8" t="s">
        <v>104</v>
      </c>
      <c r="C19" s="8" t="s">
        <v>105</v>
      </c>
      <c r="D19" s="10" t="n">
        <v>0.1843</v>
      </c>
      <c r="E19" s="11" t="n">
        <f aca="false">IF(D19=0,"",1/D19)</f>
        <v>5.42593597395551</v>
      </c>
      <c r="F19" s="9" t="n">
        <v>8.5</v>
      </c>
      <c r="G19" s="12" t="n">
        <f aca="false">D19*(F19-1)-(1-D19)</f>
        <v>0.56655</v>
      </c>
      <c r="H19" s="11" t="n">
        <v>1.89</v>
      </c>
      <c r="I19" s="8" t="s">
        <v>108</v>
      </c>
    </row>
    <row r="20" customFormat="false" ht="15" hidden="false" customHeight="false" outlineLevel="0" collapsed="false">
      <c r="A20" s="8" t="s">
        <v>107</v>
      </c>
      <c r="B20" s="8" t="s">
        <v>104</v>
      </c>
      <c r="C20" s="8" t="s">
        <v>105</v>
      </c>
      <c r="D20" s="10" t="n">
        <v>0.1108</v>
      </c>
      <c r="E20" s="11" t="n">
        <f aca="false">IF(D20=0,"",1/D20)</f>
        <v>9.02527075812274</v>
      </c>
      <c r="F20" s="9" t="n">
        <v>13</v>
      </c>
      <c r="G20" s="12" t="n">
        <f aca="false">D20*(F20-1)-(1-D20)</f>
        <v>0.4404</v>
      </c>
      <c r="H20" s="11" t="n">
        <v>0.92</v>
      </c>
      <c r="I20" s="8" t="s">
        <v>108</v>
      </c>
    </row>
  </sheetData>
  <conditionalFormatting sqref="G6:G20">
    <cfRule type="cellIs" priority="2" operator="greaterThan" aboveAverage="0" equalAverage="0" bottom="0" percent="0" rank="0" text="" dxfId="0">
      <formula>0.05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11"/>
  </cols>
  <sheetData>
    <row r="1" customFormat="false" ht="19.7" hidden="false" customHeight="false" outlineLevel="0" collapsed="false">
      <c r="A1" s="1" t="s">
        <v>109</v>
      </c>
    </row>
    <row r="2" customFormat="false" ht="15" hidden="false" customHeight="false" outlineLevel="0" collapsed="false">
      <c r="A2" s="2" t="s">
        <v>110</v>
      </c>
    </row>
    <row r="5" customFormat="false" ht="26.85" hidden="false" customHeight="false" outlineLevel="0" collapsed="false">
      <c r="A5" s="5" t="s">
        <v>111</v>
      </c>
      <c r="B5" s="5" t="s">
        <v>83</v>
      </c>
      <c r="C5" s="5" t="s">
        <v>84</v>
      </c>
      <c r="D5" s="5" t="s">
        <v>85</v>
      </c>
      <c r="E5" s="5" t="s">
        <v>112</v>
      </c>
      <c r="F5" s="5" t="s">
        <v>113</v>
      </c>
      <c r="G5" s="5" t="s">
        <v>114</v>
      </c>
      <c r="H5" s="5" t="s">
        <v>115</v>
      </c>
      <c r="I5" s="5" t="s">
        <v>116</v>
      </c>
      <c r="J5" s="5" t="s">
        <v>117</v>
      </c>
    </row>
    <row r="6" customFormat="false" ht="15" hidden="false" customHeight="false" outlineLevel="0" collapsed="false">
      <c r="A6" s="8" t="s">
        <v>118</v>
      </c>
      <c r="B6" s="8" t="s">
        <v>95</v>
      </c>
      <c r="C6" s="8" t="s">
        <v>101</v>
      </c>
      <c r="D6" s="8" t="s">
        <v>102</v>
      </c>
      <c r="E6" s="13" t="n">
        <v>2.55</v>
      </c>
      <c r="F6" s="13" t="n">
        <v>1</v>
      </c>
      <c r="G6" s="13" t="n">
        <v>2.3</v>
      </c>
      <c r="H6" s="13" t="n">
        <v>1</v>
      </c>
      <c r="I6" s="12" t="n">
        <f aca="false">IF(OR($E6="",$G6=""),"",$E6/$G6-1)</f>
        <v>0.108695652173913</v>
      </c>
      <c r="J6" s="14" t="n">
        <f aca="false">IF(OR($E6="",$H6=""),"",IF($H6=0.5,0,IF($H6=1,$F6*($E6-1),-$F6)))</f>
        <v>1.55</v>
      </c>
    </row>
    <row r="7" customFormat="false" ht="15" hidden="false" customHeight="false" outlineLevel="0" collapsed="false">
      <c r="A7" s="8" t="s">
        <v>118</v>
      </c>
      <c r="B7" s="8" t="s">
        <v>119</v>
      </c>
      <c r="C7" s="8" t="s">
        <v>99</v>
      </c>
      <c r="D7" s="8" t="s">
        <v>100</v>
      </c>
      <c r="E7" s="13" t="n">
        <v>2.25</v>
      </c>
      <c r="F7" s="13" t="n">
        <v>1</v>
      </c>
      <c r="G7" s="13" t="n">
        <v>2.05</v>
      </c>
      <c r="H7" s="13" t="n">
        <v>0</v>
      </c>
      <c r="I7" s="12" t="n">
        <f aca="false">IF(OR($E7="",$G7=""),"",$E7/$G7-1)</f>
        <v>0.0975609756097562</v>
      </c>
      <c r="J7" s="14" t="n">
        <f aca="false">IF(OR($E7="",$H7=""),"",IF($H7=0.5,0,IF($H7=1,$F7*($E7-1),-$F7)))</f>
        <v>-1</v>
      </c>
    </row>
    <row r="8" customFormat="false" ht="15" hidden="false" customHeight="false" outlineLevel="0" collapsed="false">
      <c r="A8" s="8"/>
      <c r="B8" s="8"/>
      <c r="C8" s="8"/>
      <c r="D8" s="8"/>
      <c r="E8" s="13"/>
      <c r="F8" s="13"/>
      <c r="G8" s="13"/>
      <c r="H8" s="13"/>
      <c r="I8" s="12" t="str">
        <f aca="false">IF(OR($E8="",$G8=""),"",$E8/$G8-1)</f>
        <v/>
      </c>
      <c r="J8" s="14" t="str">
        <f aca="false">IF(OR($E8="",$H8=""),"",IF($H8=0.5,0,IF($H8=1,$F8*($E8-1),-$F8)))</f>
        <v/>
      </c>
    </row>
    <row r="9" customFormat="false" ht="15" hidden="false" customHeight="false" outlineLevel="0" collapsed="false">
      <c r="A9" s="8"/>
      <c r="B9" s="8"/>
      <c r="C9" s="8"/>
      <c r="D9" s="8"/>
      <c r="E9" s="13"/>
      <c r="F9" s="13"/>
      <c r="G9" s="13"/>
      <c r="H9" s="13"/>
      <c r="I9" s="12" t="str">
        <f aca="false">IF(OR($E9="",$G9=""),"",$E9/$G9-1)</f>
        <v/>
      </c>
      <c r="J9" s="14" t="str">
        <f aca="false">IF(OR($E9="",$H9=""),"",IF($H9=0.5,0,IF($H9=1,$F9*($E9-1),-$F9)))</f>
        <v/>
      </c>
    </row>
    <row r="10" customFormat="false" ht="15" hidden="false" customHeight="false" outlineLevel="0" collapsed="false">
      <c r="A10" s="8"/>
      <c r="B10" s="8"/>
      <c r="C10" s="8"/>
      <c r="D10" s="8"/>
      <c r="E10" s="13"/>
      <c r="F10" s="13"/>
      <c r="G10" s="13"/>
      <c r="H10" s="13"/>
      <c r="I10" s="12" t="str">
        <f aca="false">IF(OR($E10="",$G10=""),"",$E10/$G10-1)</f>
        <v/>
      </c>
      <c r="J10" s="14" t="str">
        <f aca="false">IF(OR($E10="",$H10=""),"",IF($H10=0.5,0,IF($H10=1,$F10*($E10-1),-$F10)))</f>
        <v/>
      </c>
    </row>
    <row r="11" customFormat="false" ht="15" hidden="false" customHeight="false" outlineLevel="0" collapsed="false">
      <c r="A11" s="8"/>
      <c r="B11" s="8"/>
      <c r="C11" s="8"/>
      <c r="D11" s="8"/>
      <c r="E11" s="13"/>
      <c r="F11" s="13"/>
      <c r="G11" s="13"/>
      <c r="H11" s="13"/>
      <c r="I11" s="12" t="str">
        <f aca="false">IF(OR($E11="",$G11=""),"",$E11/$G11-1)</f>
        <v/>
      </c>
      <c r="J11" s="14" t="str">
        <f aca="false">IF(OR($E11="",$H11=""),"",IF($H11=0.5,0,IF($H11=1,$F11*($E11-1),-$F11)))</f>
        <v/>
      </c>
    </row>
    <row r="12" customFormat="false" ht="15" hidden="false" customHeight="false" outlineLevel="0" collapsed="false">
      <c r="A12" s="8"/>
      <c r="B12" s="8"/>
      <c r="C12" s="8"/>
      <c r="D12" s="8"/>
      <c r="E12" s="13"/>
      <c r="F12" s="13"/>
      <c r="G12" s="13"/>
      <c r="H12" s="13"/>
      <c r="I12" s="12" t="str">
        <f aca="false">IF(OR($E12="",$G12=""),"",$E12/$G12-1)</f>
        <v/>
      </c>
      <c r="J12" s="14" t="str">
        <f aca="false">IF(OR($E12="",$H12=""),"",IF($H12=0.5,0,IF($H12=1,$F12*($E12-1),-$F12)))</f>
        <v/>
      </c>
    </row>
    <row r="13" customFormat="false" ht="15" hidden="false" customHeight="false" outlineLevel="0" collapsed="false">
      <c r="A13" s="8"/>
      <c r="B13" s="8"/>
      <c r="C13" s="8"/>
      <c r="D13" s="8"/>
      <c r="E13" s="13"/>
      <c r="F13" s="13"/>
      <c r="G13" s="13"/>
      <c r="H13" s="13"/>
      <c r="I13" s="12" t="str">
        <f aca="false">IF(OR($E13="",$G13=""),"",$E13/$G13-1)</f>
        <v/>
      </c>
      <c r="J13" s="14" t="str">
        <f aca="false">IF(OR($E13="",$H13=""),"",IF($H13=0.5,0,IF($H13=1,$F13*($E13-1),-$F13)))</f>
        <v/>
      </c>
    </row>
    <row r="14" customFormat="false" ht="15" hidden="false" customHeight="false" outlineLevel="0" collapsed="false">
      <c r="A14" s="8"/>
      <c r="B14" s="8"/>
      <c r="C14" s="8"/>
      <c r="D14" s="8"/>
      <c r="E14" s="13"/>
      <c r="F14" s="13"/>
      <c r="G14" s="13"/>
      <c r="H14" s="13"/>
      <c r="I14" s="12" t="str">
        <f aca="false">IF(OR($E14="",$G14=""),"",$E14/$G14-1)</f>
        <v/>
      </c>
      <c r="J14" s="14" t="str">
        <f aca="false">IF(OR($E14="",$H14=""),"",IF($H14=0.5,0,IF($H14=1,$F14*($E14-1),-$F14)))</f>
        <v/>
      </c>
    </row>
    <row r="15" customFormat="false" ht="15" hidden="false" customHeight="false" outlineLevel="0" collapsed="false">
      <c r="A15" s="8"/>
      <c r="B15" s="8"/>
      <c r="C15" s="8"/>
      <c r="D15" s="8"/>
      <c r="E15" s="13"/>
      <c r="F15" s="13"/>
      <c r="G15" s="13"/>
      <c r="H15" s="13"/>
      <c r="I15" s="12" t="str">
        <f aca="false">IF(OR($E15="",$G15=""),"",$E15/$G15-1)</f>
        <v/>
      </c>
      <c r="J15" s="14" t="str">
        <f aca="false">IF(OR($E15="",$H15=""),"",IF($H15=0.5,0,IF($H15=1,$F15*($E15-1),-$F15)))</f>
        <v/>
      </c>
    </row>
    <row r="16" customFormat="false" ht="15" hidden="false" customHeight="false" outlineLevel="0" collapsed="false">
      <c r="A16" s="8"/>
      <c r="B16" s="8"/>
      <c r="C16" s="8"/>
      <c r="D16" s="8"/>
      <c r="E16" s="13"/>
      <c r="F16" s="13"/>
      <c r="G16" s="13"/>
      <c r="H16" s="13"/>
      <c r="I16" s="12" t="str">
        <f aca="false">IF(OR($E16="",$G16=""),"",$E16/$G16-1)</f>
        <v/>
      </c>
      <c r="J16" s="14" t="str">
        <f aca="false">IF(OR($E16="",$H16=""),"",IF($H16=0.5,0,IF($H16=1,$F16*($E16-1),-$F16)))</f>
        <v/>
      </c>
    </row>
    <row r="17" customFormat="false" ht="15" hidden="false" customHeight="false" outlineLevel="0" collapsed="false">
      <c r="A17" s="8"/>
      <c r="B17" s="8"/>
      <c r="C17" s="8"/>
      <c r="D17" s="8"/>
      <c r="E17" s="13"/>
      <c r="F17" s="13"/>
      <c r="G17" s="13"/>
      <c r="H17" s="13"/>
      <c r="I17" s="12" t="str">
        <f aca="false">IF(OR($E17="",$G17=""),"",$E17/$G17-1)</f>
        <v/>
      </c>
      <c r="J17" s="14" t="str">
        <f aca="false">IF(OR($E17="",$H17=""),"",IF($H17=0.5,0,IF($H17=1,$F17*($E17-1),-$F17)))</f>
        <v/>
      </c>
    </row>
    <row r="18" customFormat="false" ht="15" hidden="false" customHeight="false" outlineLevel="0" collapsed="false">
      <c r="A18" s="8"/>
      <c r="B18" s="8"/>
      <c r="C18" s="8"/>
      <c r="D18" s="8"/>
      <c r="E18" s="13"/>
      <c r="F18" s="13"/>
      <c r="G18" s="13"/>
      <c r="H18" s="13"/>
      <c r="I18" s="12" t="str">
        <f aca="false">IF(OR($E18="",$G18=""),"",$E18/$G18-1)</f>
        <v/>
      </c>
      <c r="J18" s="14" t="str">
        <f aca="false">IF(OR($E18="",$H18=""),"",IF($H18=0.5,0,IF($H18=1,$F18*($E18-1),-$F18)))</f>
        <v/>
      </c>
    </row>
    <row r="19" customFormat="false" ht="15" hidden="false" customHeight="false" outlineLevel="0" collapsed="false">
      <c r="A19" s="8"/>
      <c r="B19" s="8"/>
      <c r="C19" s="8"/>
      <c r="D19" s="8"/>
      <c r="E19" s="13"/>
      <c r="F19" s="13"/>
      <c r="G19" s="13"/>
      <c r="H19" s="13"/>
      <c r="I19" s="12" t="str">
        <f aca="false">IF(OR($E19="",$G19=""),"",$E19/$G19-1)</f>
        <v/>
      </c>
      <c r="J19" s="14" t="str">
        <f aca="false">IF(OR($E19="",$H19=""),"",IF($H19=0.5,0,IF($H19=1,$F19*($E19-1),-$F19)))</f>
        <v/>
      </c>
    </row>
    <row r="20" customFormat="false" ht="15" hidden="false" customHeight="false" outlineLevel="0" collapsed="false">
      <c r="A20" s="8"/>
      <c r="B20" s="8"/>
      <c r="C20" s="8"/>
      <c r="D20" s="8"/>
      <c r="E20" s="13"/>
      <c r="F20" s="13"/>
      <c r="G20" s="13"/>
      <c r="H20" s="13"/>
      <c r="I20" s="12" t="str">
        <f aca="false">IF(OR($E20="",$G20=""),"",$E20/$G20-1)</f>
        <v/>
      </c>
      <c r="J20" s="14" t="str">
        <f aca="false">IF(OR($E20="",$H20=""),"",IF($H20=0.5,0,IF($H20=1,$F20*($E20-1),-$F20)))</f>
        <v/>
      </c>
    </row>
    <row r="21" customFormat="false" ht="15" hidden="false" customHeight="false" outlineLevel="0" collapsed="false">
      <c r="A21" s="8"/>
      <c r="B21" s="8"/>
      <c r="C21" s="8"/>
      <c r="D21" s="8"/>
      <c r="E21" s="13"/>
      <c r="F21" s="13"/>
      <c r="G21" s="13"/>
      <c r="H21" s="13"/>
      <c r="I21" s="12" t="str">
        <f aca="false">IF(OR($E21="",$G21=""),"",$E21/$G21-1)</f>
        <v/>
      </c>
      <c r="J21" s="14" t="str">
        <f aca="false">IF(OR($E21="",$H21=""),"",IF($H21=0.5,0,IF($H21=1,$F21*($E21-1),-$F21)))</f>
        <v/>
      </c>
    </row>
    <row r="22" customFormat="false" ht="15" hidden="false" customHeight="false" outlineLevel="0" collapsed="false">
      <c r="A22" s="8"/>
      <c r="B22" s="8"/>
      <c r="C22" s="8"/>
      <c r="D22" s="8"/>
      <c r="E22" s="13"/>
      <c r="F22" s="13"/>
      <c r="G22" s="13"/>
      <c r="H22" s="13"/>
      <c r="I22" s="12" t="str">
        <f aca="false">IF(OR($E22="",$G22=""),"",$E22/$G22-1)</f>
        <v/>
      </c>
      <c r="J22" s="14" t="str">
        <f aca="false">IF(OR($E22="",$H22=""),"",IF($H22=0.5,0,IF($H22=1,$F22*($E22-1),-$F22)))</f>
        <v/>
      </c>
    </row>
    <row r="23" customFormat="false" ht="15" hidden="false" customHeight="false" outlineLevel="0" collapsed="false">
      <c r="A23" s="8"/>
      <c r="B23" s="8"/>
      <c r="C23" s="8"/>
      <c r="D23" s="8"/>
      <c r="E23" s="13"/>
      <c r="F23" s="13"/>
      <c r="G23" s="13"/>
      <c r="H23" s="13"/>
      <c r="I23" s="12" t="str">
        <f aca="false">IF(OR($E23="",$G23=""),"",$E23/$G23-1)</f>
        <v/>
      </c>
      <c r="J23" s="14" t="str">
        <f aca="false">IF(OR($E23="",$H23=""),"",IF($H23=0.5,0,IF($H23=1,$F23*($E23-1),-$F23)))</f>
        <v/>
      </c>
    </row>
    <row r="24" customFormat="false" ht="15" hidden="false" customHeight="false" outlineLevel="0" collapsed="false">
      <c r="A24" s="8"/>
      <c r="B24" s="8"/>
      <c r="C24" s="8"/>
      <c r="D24" s="8"/>
      <c r="E24" s="13"/>
      <c r="F24" s="13"/>
      <c r="G24" s="13"/>
      <c r="H24" s="13"/>
      <c r="I24" s="12" t="str">
        <f aca="false">IF(OR($E24="",$G24=""),"",$E24/$G24-1)</f>
        <v/>
      </c>
      <c r="J24" s="14" t="str">
        <f aca="false">IF(OR($E24="",$H24=""),"",IF($H24=0.5,0,IF($H24=1,$F24*($E24-1),-$F24)))</f>
        <v/>
      </c>
    </row>
    <row r="25" customFormat="false" ht="15" hidden="false" customHeight="false" outlineLevel="0" collapsed="false">
      <c r="A25" s="8"/>
      <c r="B25" s="8"/>
      <c r="C25" s="8"/>
      <c r="D25" s="8"/>
      <c r="E25" s="13"/>
      <c r="F25" s="13"/>
      <c r="G25" s="13"/>
      <c r="H25" s="13"/>
      <c r="I25" s="12" t="str">
        <f aca="false">IF(OR($E25="",$G25=""),"",$E25/$G25-1)</f>
        <v/>
      </c>
      <c r="J25" s="14" t="str">
        <f aca="false">IF(OR($E25="",$H25=""),"",IF($H25=0.5,0,IF($H25=1,$F25*($E25-1),-$F25)))</f>
        <v/>
      </c>
    </row>
    <row r="26" customFormat="false" ht="15" hidden="false" customHeight="false" outlineLevel="0" collapsed="false">
      <c r="A26" s="8"/>
      <c r="B26" s="8"/>
      <c r="C26" s="8"/>
      <c r="D26" s="8"/>
      <c r="E26" s="13"/>
      <c r="F26" s="13"/>
      <c r="G26" s="13"/>
      <c r="H26" s="13"/>
      <c r="I26" s="12" t="str">
        <f aca="false">IF(OR($E26="",$G26=""),"",$E26/$G26-1)</f>
        <v/>
      </c>
      <c r="J26" s="14" t="str">
        <f aca="false">IF(OR($E26="",$H26=""),"",IF($H26=0.5,0,IF($H26=1,$F26*($E26-1),-$F26)))</f>
        <v/>
      </c>
    </row>
    <row r="27" customFormat="false" ht="15" hidden="false" customHeight="false" outlineLevel="0" collapsed="false">
      <c r="A27" s="8"/>
      <c r="B27" s="8"/>
      <c r="C27" s="8"/>
      <c r="D27" s="8"/>
      <c r="E27" s="13"/>
      <c r="F27" s="13"/>
      <c r="G27" s="13"/>
      <c r="H27" s="13"/>
      <c r="I27" s="12" t="str">
        <f aca="false">IF(OR($E27="",$G27=""),"",$E27/$G27-1)</f>
        <v/>
      </c>
      <c r="J27" s="14" t="str">
        <f aca="false">IF(OR($E27="",$H27=""),"",IF($H27=0.5,0,IF($H27=1,$F27*($E27-1),-$F27)))</f>
        <v/>
      </c>
    </row>
    <row r="28" customFormat="false" ht="15" hidden="false" customHeight="false" outlineLevel="0" collapsed="false">
      <c r="A28" s="8"/>
      <c r="B28" s="8"/>
      <c r="C28" s="8"/>
      <c r="D28" s="8"/>
      <c r="E28" s="13"/>
      <c r="F28" s="13"/>
      <c r="G28" s="13"/>
      <c r="H28" s="13"/>
      <c r="I28" s="12" t="str">
        <f aca="false">IF(OR($E28="",$G28=""),"",$E28/$G28-1)</f>
        <v/>
      </c>
      <c r="J28" s="14" t="str">
        <f aca="false">IF(OR($E28="",$H28=""),"",IF($H28=0.5,0,IF($H28=1,$F28*($E28-1),-$F28)))</f>
        <v/>
      </c>
    </row>
    <row r="29" customFormat="false" ht="15" hidden="false" customHeight="false" outlineLevel="0" collapsed="false">
      <c r="A29" s="8"/>
      <c r="B29" s="8"/>
      <c r="C29" s="8"/>
      <c r="D29" s="8"/>
      <c r="E29" s="13"/>
      <c r="F29" s="13"/>
      <c r="G29" s="13"/>
      <c r="H29" s="13"/>
      <c r="I29" s="12" t="str">
        <f aca="false">IF(OR($E29="",$G29=""),"",$E29/$G29-1)</f>
        <v/>
      </c>
      <c r="J29" s="14" t="str">
        <f aca="false">IF(OR($E29="",$H29=""),"",IF($H29=0.5,0,IF($H29=1,$F29*($E29-1),-$F29)))</f>
        <v/>
      </c>
    </row>
    <row r="30" customFormat="false" ht="15" hidden="false" customHeight="false" outlineLevel="0" collapsed="false">
      <c r="A30" s="8"/>
      <c r="B30" s="8"/>
      <c r="C30" s="8"/>
      <c r="D30" s="8"/>
      <c r="E30" s="13"/>
      <c r="F30" s="13"/>
      <c r="G30" s="13"/>
      <c r="H30" s="13"/>
      <c r="I30" s="12" t="str">
        <f aca="false">IF(OR($E30="",$G30=""),"",$E30/$G30-1)</f>
        <v/>
      </c>
      <c r="J30" s="14" t="str">
        <f aca="false">IF(OR($E30="",$H30=""),"",IF($H30=0.5,0,IF($H30=1,$F30*($E30-1),-$F30)))</f>
        <v/>
      </c>
    </row>
    <row r="31" customFormat="false" ht="15" hidden="false" customHeight="false" outlineLevel="0" collapsed="false">
      <c r="A31" s="8"/>
      <c r="B31" s="8"/>
      <c r="C31" s="8"/>
      <c r="D31" s="8"/>
      <c r="E31" s="13"/>
      <c r="F31" s="13"/>
      <c r="G31" s="13"/>
      <c r="H31" s="13"/>
      <c r="I31" s="12" t="str">
        <f aca="false">IF(OR($E31="",$G31=""),"",$E31/$G31-1)</f>
        <v/>
      </c>
      <c r="J31" s="14" t="str">
        <f aca="false">IF(OR($E31="",$H31=""),"",IF($H31=0.5,0,IF($H31=1,$F31*($E31-1),-$F31)))</f>
        <v/>
      </c>
    </row>
    <row r="32" customFormat="false" ht="15" hidden="false" customHeight="false" outlineLevel="0" collapsed="false">
      <c r="A32" s="8"/>
      <c r="B32" s="8"/>
      <c r="C32" s="8"/>
      <c r="D32" s="8"/>
      <c r="E32" s="13"/>
      <c r="F32" s="13"/>
      <c r="G32" s="13"/>
      <c r="H32" s="13"/>
      <c r="I32" s="12" t="str">
        <f aca="false">IF(OR($E32="",$G32=""),"",$E32/$G32-1)</f>
        <v/>
      </c>
      <c r="J32" s="14" t="str">
        <f aca="false">IF(OR($E32="",$H32=""),"",IF($H32=0.5,0,IF($H32=1,$F32*($E32-1),-$F32)))</f>
        <v/>
      </c>
    </row>
    <row r="33" customFormat="false" ht="15" hidden="false" customHeight="false" outlineLevel="0" collapsed="false">
      <c r="A33" s="8"/>
      <c r="B33" s="8"/>
      <c r="C33" s="8"/>
      <c r="D33" s="8"/>
      <c r="E33" s="13"/>
      <c r="F33" s="13"/>
      <c r="G33" s="13"/>
      <c r="H33" s="13"/>
      <c r="I33" s="12" t="str">
        <f aca="false">IF(OR($E33="",$G33=""),"",$E33/$G33-1)</f>
        <v/>
      </c>
      <c r="J33" s="14" t="str">
        <f aca="false">IF(OR($E33="",$H33=""),"",IF($H33=0.5,0,IF($H33=1,$F33*($E33-1),-$F33)))</f>
        <v/>
      </c>
    </row>
    <row r="34" customFormat="false" ht="15" hidden="false" customHeight="false" outlineLevel="0" collapsed="false">
      <c r="A34" s="8"/>
      <c r="B34" s="8"/>
      <c r="C34" s="8"/>
      <c r="D34" s="8"/>
      <c r="E34" s="13"/>
      <c r="F34" s="13"/>
      <c r="G34" s="13"/>
      <c r="H34" s="13"/>
      <c r="I34" s="12" t="str">
        <f aca="false">IF(OR($E34="",$G34=""),"",$E34/$G34-1)</f>
        <v/>
      </c>
      <c r="J34" s="14" t="str">
        <f aca="false">IF(OR($E34="",$H34=""),"",IF($H34=0.5,0,IF($H34=1,$F34*($E34-1),-$F34)))</f>
        <v/>
      </c>
    </row>
    <row r="35" customFormat="false" ht="15" hidden="false" customHeight="false" outlineLevel="0" collapsed="false">
      <c r="A35" s="8"/>
      <c r="B35" s="8"/>
      <c r="C35" s="8"/>
      <c r="D35" s="8"/>
      <c r="E35" s="13"/>
      <c r="F35" s="13"/>
      <c r="G35" s="13"/>
      <c r="H35" s="13"/>
      <c r="I35" s="12" t="str">
        <f aca="false">IF(OR($E35="",$G35=""),"",$E35/$G35-1)</f>
        <v/>
      </c>
      <c r="J35" s="14" t="str">
        <f aca="false">IF(OR($E35="",$H35=""),"",IF($H35=0.5,0,IF($H35=1,$F35*($E35-1),-$F35)))</f>
        <v/>
      </c>
    </row>
    <row r="36" customFormat="false" ht="15" hidden="false" customHeight="false" outlineLevel="0" collapsed="false">
      <c r="A36" s="8"/>
      <c r="B36" s="8"/>
      <c r="C36" s="8"/>
      <c r="D36" s="8"/>
      <c r="E36" s="13"/>
      <c r="F36" s="13"/>
      <c r="G36" s="13"/>
      <c r="H36" s="13"/>
      <c r="I36" s="12" t="str">
        <f aca="false">IF(OR($E36="",$G36=""),"",$E36/$G36-1)</f>
        <v/>
      </c>
      <c r="J36" s="14" t="str">
        <f aca="false">IF(OR($E36="",$H36=""),"",IF($H36=0.5,0,IF($H36=1,$F36*($E36-1),-$F36)))</f>
        <v/>
      </c>
    </row>
    <row r="37" customFormat="false" ht="15" hidden="false" customHeight="false" outlineLevel="0" collapsed="false">
      <c r="A37" s="8"/>
      <c r="B37" s="8"/>
      <c r="C37" s="8"/>
      <c r="D37" s="8"/>
      <c r="E37" s="13"/>
      <c r="F37" s="13"/>
      <c r="G37" s="13"/>
      <c r="H37" s="13"/>
      <c r="I37" s="12" t="str">
        <f aca="false">IF(OR($E37="",$G37=""),"",$E37/$G37-1)</f>
        <v/>
      </c>
      <c r="J37" s="14" t="str">
        <f aca="false">IF(OR($E37="",$H37=""),"",IF($H37=0.5,0,IF($H37=1,$F37*($E37-1),-$F37)))</f>
        <v/>
      </c>
    </row>
    <row r="38" customFormat="false" ht="15" hidden="false" customHeight="false" outlineLevel="0" collapsed="false">
      <c r="A38" s="8"/>
      <c r="B38" s="8"/>
      <c r="C38" s="8"/>
      <c r="D38" s="8"/>
      <c r="E38" s="13"/>
      <c r="F38" s="13"/>
      <c r="G38" s="13"/>
      <c r="H38" s="13"/>
      <c r="I38" s="12" t="str">
        <f aca="false">IF(OR($E38="",$G38=""),"",$E38/$G38-1)</f>
        <v/>
      </c>
      <c r="J38" s="14" t="str">
        <f aca="false">IF(OR($E38="",$H38=""),"",IF($H38=0.5,0,IF($H38=1,$F38*($E38-1),-$F38)))</f>
        <v/>
      </c>
    </row>
    <row r="39" customFormat="false" ht="15" hidden="false" customHeight="false" outlineLevel="0" collapsed="false">
      <c r="A39" s="8"/>
      <c r="B39" s="8"/>
      <c r="C39" s="8"/>
      <c r="D39" s="8"/>
      <c r="E39" s="13"/>
      <c r="F39" s="13"/>
      <c r="G39" s="13"/>
      <c r="H39" s="13"/>
      <c r="I39" s="12" t="str">
        <f aca="false">IF(OR($E39="",$G39=""),"",$E39/$G39-1)</f>
        <v/>
      </c>
      <c r="J39" s="14" t="str">
        <f aca="false">IF(OR($E39="",$H39=""),"",IF($H39=0.5,0,IF($H39=1,$F39*($E39-1),-$F39)))</f>
        <v/>
      </c>
    </row>
    <row r="40" customFormat="false" ht="15" hidden="false" customHeight="false" outlineLevel="0" collapsed="false">
      <c r="A40" s="8"/>
      <c r="B40" s="8"/>
      <c r="C40" s="8"/>
      <c r="D40" s="8"/>
      <c r="E40" s="13"/>
      <c r="F40" s="13"/>
      <c r="G40" s="13"/>
      <c r="H40" s="13"/>
      <c r="I40" s="12" t="str">
        <f aca="false">IF(OR($E40="",$G40=""),"",$E40/$G40-1)</f>
        <v/>
      </c>
      <c r="J40" s="14" t="str">
        <f aca="false">IF(OR($E40="",$H40=""),"",IF($H40=0.5,0,IF($H40=1,$F40*($E40-1),-$F40)))</f>
        <v/>
      </c>
    </row>
    <row r="41" customFormat="false" ht="15" hidden="false" customHeight="false" outlineLevel="0" collapsed="false">
      <c r="A41" s="8"/>
      <c r="B41" s="8"/>
      <c r="C41" s="8"/>
      <c r="D41" s="8"/>
      <c r="E41" s="13"/>
      <c r="F41" s="13"/>
      <c r="G41" s="13"/>
      <c r="H41" s="13"/>
      <c r="I41" s="12" t="str">
        <f aca="false">IF(OR($E41="",$G41=""),"",$E41/$G41-1)</f>
        <v/>
      </c>
      <c r="J41" s="14" t="str">
        <f aca="false">IF(OR($E41="",$H41=""),"",IF($H41=0.5,0,IF($H41=1,$F41*($E41-1),-$F41)))</f>
        <v/>
      </c>
    </row>
    <row r="42" customFormat="false" ht="15" hidden="false" customHeight="false" outlineLevel="0" collapsed="false">
      <c r="A42" s="8"/>
      <c r="B42" s="8"/>
      <c r="C42" s="8"/>
      <c r="D42" s="8"/>
      <c r="E42" s="13"/>
      <c r="F42" s="13"/>
      <c r="G42" s="13"/>
      <c r="H42" s="13"/>
      <c r="I42" s="12" t="str">
        <f aca="false">IF(OR($E42="",$G42=""),"",$E42/$G42-1)</f>
        <v/>
      </c>
      <c r="J42" s="14" t="str">
        <f aca="false">IF(OR($E42="",$H42=""),"",IF($H42=0.5,0,IF($H42=1,$F42*($E42-1),-$F42)))</f>
        <v/>
      </c>
    </row>
    <row r="43" customFormat="false" ht="15" hidden="false" customHeight="false" outlineLevel="0" collapsed="false">
      <c r="A43" s="8"/>
      <c r="B43" s="8"/>
      <c r="C43" s="8"/>
      <c r="D43" s="8"/>
      <c r="E43" s="13"/>
      <c r="F43" s="13"/>
      <c r="G43" s="13"/>
      <c r="H43" s="13"/>
      <c r="I43" s="12" t="str">
        <f aca="false">IF(OR($E43="",$G43=""),"",$E43/$G43-1)</f>
        <v/>
      </c>
      <c r="J43" s="14" t="str">
        <f aca="false">IF(OR($E43="",$H43=""),"",IF($H43=0.5,0,IF($H43=1,$F43*($E43-1),-$F43)))</f>
        <v/>
      </c>
    </row>
    <row r="44" customFormat="false" ht="15" hidden="false" customHeight="false" outlineLevel="0" collapsed="false">
      <c r="A44" s="8"/>
      <c r="B44" s="8"/>
      <c r="C44" s="8"/>
      <c r="D44" s="8"/>
      <c r="E44" s="13"/>
      <c r="F44" s="13"/>
      <c r="G44" s="13"/>
      <c r="H44" s="13"/>
      <c r="I44" s="12" t="str">
        <f aca="false">IF(OR($E44="",$G44=""),"",$E44/$G44-1)</f>
        <v/>
      </c>
      <c r="J44" s="14" t="str">
        <f aca="false">IF(OR($E44="",$H44=""),"",IF($H44=0.5,0,IF($H44=1,$F44*($E44-1),-$F44)))</f>
        <v/>
      </c>
    </row>
    <row r="45" customFormat="false" ht="15" hidden="false" customHeight="false" outlineLevel="0" collapsed="false">
      <c r="A45" s="8"/>
      <c r="B45" s="8"/>
      <c r="C45" s="8"/>
      <c r="D45" s="8"/>
      <c r="E45" s="13"/>
      <c r="F45" s="13"/>
      <c r="G45" s="13"/>
      <c r="H45" s="13"/>
      <c r="I45" s="12" t="str">
        <f aca="false">IF(OR($E45="",$G45=""),"",$E45/$G45-1)</f>
        <v/>
      </c>
      <c r="J45" s="14" t="str">
        <f aca="false">IF(OR($E45="",$H45=""),"",IF($H45=0.5,0,IF($H45=1,$F45*($E45-1),-$F45)))</f>
        <v/>
      </c>
    </row>
    <row r="46" customFormat="false" ht="15" hidden="false" customHeight="false" outlineLevel="0" collapsed="false">
      <c r="A46" s="8"/>
      <c r="B46" s="8"/>
      <c r="C46" s="8"/>
      <c r="D46" s="8"/>
      <c r="E46" s="13"/>
      <c r="F46" s="13"/>
      <c r="G46" s="13"/>
      <c r="H46" s="13"/>
      <c r="I46" s="12" t="str">
        <f aca="false">IF(OR($E46="",$G46=""),"",$E46/$G46-1)</f>
        <v/>
      </c>
      <c r="J46" s="14" t="str">
        <f aca="false">IF(OR($E46="",$H46=""),"",IF($H46=0.5,0,IF($H46=1,$F46*($E46-1),-$F46)))</f>
        <v/>
      </c>
    </row>
    <row r="47" customFormat="false" ht="15" hidden="false" customHeight="false" outlineLevel="0" collapsed="false">
      <c r="A47" s="8"/>
      <c r="B47" s="8"/>
      <c r="C47" s="8"/>
      <c r="D47" s="8"/>
      <c r="E47" s="13"/>
      <c r="F47" s="13"/>
      <c r="G47" s="13"/>
      <c r="H47" s="13"/>
      <c r="I47" s="12" t="str">
        <f aca="false">IF(OR($E47="",$G47=""),"",$E47/$G47-1)</f>
        <v/>
      </c>
      <c r="J47" s="14" t="str">
        <f aca="false">IF(OR($E47="",$H47=""),"",IF($H47=0.5,0,IF($H47=1,$F47*($E47-1),-$F47)))</f>
        <v/>
      </c>
    </row>
    <row r="48" customFormat="false" ht="15" hidden="false" customHeight="false" outlineLevel="0" collapsed="false">
      <c r="A48" s="8"/>
      <c r="B48" s="8"/>
      <c r="C48" s="8"/>
      <c r="D48" s="8"/>
      <c r="E48" s="13"/>
      <c r="F48" s="13"/>
      <c r="G48" s="13"/>
      <c r="H48" s="13"/>
      <c r="I48" s="12" t="str">
        <f aca="false">IF(OR($E48="",$G48=""),"",$E48/$G48-1)</f>
        <v/>
      </c>
      <c r="J48" s="14" t="str">
        <f aca="false">IF(OR($E48="",$H48=""),"",IF($H48=0.5,0,IF($H48=1,$F48*($E48-1),-$F48)))</f>
        <v/>
      </c>
    </row>
    <row r="49" customFormat="false" ht="15" hidden="false" customHeight="false" outlineLevel="0" collapsed="false">
      <c r="A49" s="8"/>
      <c r="B49" s="8"/>
      <c r="C49" s="8"/>
      <c r="D49" s="8"/>
      <c r="E49" s="13"/>
      <c r="F49" s="13"/>
      <c r="G49" s="13"/>
      <c r="H49" s="13"/>
      <c r="I49" s="12" t="str">
        <f aca="false">IF(OR($E49="",$G49=""),"",$E49/$G49-1)</f>
        <v/>
      </c>
      <c r="J49" s="14" t="str">
        <f aca="false">IF(OR($E49="",$H49=""),"",IF($H49=0.5,0,IF($H49=1,$F49*($E49-1),-$F49)))</f>
        <v/>
      </c>
    </row>
    <row r="50" customFormat="false" ht="15" hidden="false" customHeight="false" outlineLevel="0" collapsed="false">
      <c r="A50" s="8"/>
      <c r="B50" s="8"/>
      <c r="C50" s="8"/>
      <c r="D50" s="8"/>
      <c r="E50" s="13"/>
      <c r="F50" s="13"/>
      <c r="G50" s="13"/>
      <c r="H50" s="13"/>
      <c r="I50" s="12" t="str">
        <f aca="false">IF(OR($E50="",$G50=""),"",$E50/$G50-1)</f>
        <v/>
      </c>
      <c r="J50" s="14" t="str">
        <f aca="false">IF(OR($E50="",$H50=""),"",IF($H50=0.5,0,IF($H50=1,$F50*($E50-1),-$F50)))</f>
        <v/>
      </c>
    </row>
    <row r="51" customFormat="false" ht="15" hidden="false" customHeight="false" outlineLevel="0" collapsed="false">
      <c r="A51" s="8"/>
      <c r="B51" s="8"/>
      <c r="C51" s="8"/>
      <c r="D51" s="8"/>
      <c r="E51" s="13"/>
      <c r="F51" s="13"/>
      <c r="G51" s="13"/>
      <c r="H51" s="13"/>
      <c r="I51" s="12" t="str">
        <f aca="false">IF(OR($E51="",$G51=""),"",$E51/$G51-1)</f>
        <v/>
      </c>
      <c r="J51" s="14" t="str">
        <f aca="false">IF(OR($E51="",$H51=""),"",IF($H51=0.5,0,IF($H51=1,$F51*($E51-1),-$F51)))</f>
        <v/>
      </c>
    </row>
    <row r="52" customFormat="false" ht="15" hidden="false" customHeight="false" outlineLevel="0" collapsed="false">
      <c r="A52" s="8"/>
      <c r="B52" s="8"/>
      <c r="C52" s="8"/>
      <c r="D52" s="8"/>
      <c r="E52" s="13"/>
      <c r="F52" s="13"/>
      <c r="G52" s="13"/>
      <c r="H52" s="13"/>
      <c r="I52" s="12" t="str">
        <f aca="false">IF(OR($E52="",$G52=""),"",$E52/$G52-1)</f>
        <v/>
      </c>
      <c r="J52" s="14" t="str">
        <f aca="false">IF(OR($E52="",$H52=""),"",IF($H52=0.5,0,IF($H52=1,$F52*($E52-1),-$F52)))</f>
        <v/>
      </c>
    </row>
    <row r="53" customFormat="false" ht="15" hidden="false" customHeight="false" outlineLevel="0" collapsed="false">
      <c r="A53" s="8"/>
      <c r="B53" s="8"/>
      <c r="C53" s="8"/>
      <c r="D53" s="8"/>
      <c r="E53" s="13"/>
      <c r="F53" s="13"/>
      <c r="G53" s="13"/>
      <c r="H53" s="13"/>
      <c r="I53" s="12" t="str">
        <f aca="false">IF(OR($E53="",$G53=""),"",$E53/$G53-1)</f>
        <v/>
      </c>
      <c r="J53" s="14" t="str">
        <f aca="false">IF(OR($E53="",$H53=""),"",IF($H53=0.5,0,IF($H53=1,$F53*($E53-1),-$F53)))</f>
        <v/>
      </c>
    </row>
    <row r="54" customFormat="false" ht="15" hidden="false" customHeight="false" outlineLevel="0" collapsed="false">
      <c r="A54" s="8"/>
      <c r="B54" s="8"/>
      <c r="C54" s="8"/>
      <c r="D54" s="8"/>
      <c r="E54" s="13"/>
      <c r="F54" s="13"/>
      <c r="G54" s="13"/>
      <c r="H54" s="13"/>
      <c r="I54" s="12" t="str">
        <f aca="false">IF(OR($E54="",$G54=""),"",$E54/$G54-1)</f>
        <v/>
      </c>
      <c r="J54" s="14" t="str">
        <f aca="false">IF(OR($E54="",$H54=""),"",IF($H54=0.5,0,IF($H54=1,$F54*($E54-1),-$F54)))</f>
        <v/>
      </c>
    </row>
    <row r="55" customFormat="false" ht="15" hidden="false" customHeight="false" outlineLevel="0" collapsed="false">
      <c r="A55" s="8"/>
      <c r="B55" s="8"/>
      <c r="C55" s="8"/>
      <c r="D55" s="8"/>
      <c r="E55" s="13"/>
      <c r="F55" s="13"/>
      <c r="G55" s="13"/>
      <c r="H55" s="13"/>
      <c r="I55" s="12" t="str">
        <f aca="false">IF(OR($E55="",$G55=""),"",$E55/$G55-1)</f>
        <v/>
      </c>
      <c r="J55" s="14" t="str">
        <f aca="false">IF(OR($E55="",$H55=""),"",IF($H55=0.5,0,IF($H55=1,$F55*($E55-1),-$F55)))</f>
        <v/>
      </c>
    </row>
    <row r="56" customFormat="false" ht="15" hidden="false" customHeight="false" outlineLevel="0" collapsed="false">
      <c r="B56" s="15" t="s">
        <v>120</v>
      </c>
    </row>
    <row r="57" customFormat="false" ht="15" hidden="false" customHeight="false" outlineLevel="0" collapsed="false">
      <c r="B57" s="4" t="s">
        <v>121</v>
      </c>
      <c r="C57" s="16" t="n">
        <f aca="false">COUNT(I6:I55)</f>
        <v>2</v>
      </c>
    </row>
    <row r="58" customFormat="false" ht="15" hidden="false" customHeight="false" outlineLevel="0" collapsed="false">
      <c r="B58" s="4" t="s">
        <v>122</v>
      </c>
      <c r="C58" s="17" t="n">
        <f aca="false">IFERROR(AVERAGE(I6:I55),0)</f>
        <v>0.103128313891835</v>
      </c>
    </row>
    <row r="59" customFormat="false" ht="15" hidden="false" customHeight="false" outlineLevel="0" collapsed="false">
      <c r="B59" s="4" t="s">
        <v>123</v>
      </c>
      <c r="C59" s="17" t="n">
        <f aca="false">IFERROR(COUNTIF(I6:I55,"&gt;0")/COUNT(I6:I55),0)</f>
        <v>1</v>
      </c>
    </row>
    <row r="60" customFormat="false" ht="15" hidden="false" customHeight="false" outlineLevel="0" collapsed="false">
      <c r="B60" s="4" t="s">
        <v>124</v>
      </c>
      <c r="C60" s="18" t="n">
        <f aca="false">SUM(F6:F55)</f>
        <v>2</v>
      </c>
    </row>
    <row r="61" customFormat="false" ht="15" hidden="false" customHeight="false" outlineLevel="0" collapsed="false">
      <c r="B61" s="4" t="s">
        <v>125</v>
      </c>
      <c r="C61" s="18" t="n">
        <f aca="false">SUM(J6:J55)</f>
        <v>0.55</v>
      </c>
    </row>
    <row r="62" customFormat="false" ht="15" hidden="false" customHeight="false" outlineLevel="0" collapsed="false">
      <c r="B62" s="4" t="s">
        <v>126</v>
      </c>
      <c r="C62" s="17" t="n">
        <f aca="false">IFERROR(SUM(J6:J55)/SUM(F6:F55),0)</f>
        <v>0.275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2026-06-20T17:59:17Z</dcterms:created>
  <dc:creator>openpyxl</dc:creator>
  <dc:description/>
  <dc:language>en-US</dc:language>
  <cp:lastModifiedBy/>
  <dcterms:modified xsi:type="dcterms:W3CDTF">2026-06-20T17:59:17Z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